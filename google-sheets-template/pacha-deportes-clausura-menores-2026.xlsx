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8eda690bb4f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87f70cb084c84bed"/>
    <x:sheet xmlns:r="http://schemas.openxmlformats.org/officeDocument/2006/relationships" name="Categorias" sheetId="2" r:id="R2a4acbee79b54954"/>
    <x:sheet xmlns:r="http://schemas.openxmlformats.org/officeDocument/2006/relationships" name="Inscripciones" sheetId="3" r:id="R429b2a6db0964944"/>
    <x:sheet xmlns:r="http://schemas.openxmlformats.org/officeDocument/2006/relationships" name="Inscripcion_Categorias" sheetId="4" r:id="R0855d45b172d430f"/>
    <x:sheet xmlns:r="http://schemas.openxmlformats.org/officeDocument/2006/relationships" name="Ordenes_Pago" sheetId="5" r:id="R2ec75439775b4e5d"/>
    <x:sheet xmlns:r="http://schemas.openxmlformats.org/officeDocument/2006/relationships" name="Pagos" sheetId="6" r:id="Rbe6c5e31728c4d1c"/>
    <x:sheet xmlns:r="http://schemas.openxmlformats.org/officeDocument/2006/relationships" name="Usuarios" sheetId="7" r:id="R2f176eb8fb0e4d50"/>
    <x:sheet xmlns:r="http://schemas.openxmlformats.org/officeDocument/2006/relationships" name="Sesiones" sheetId="8" r:id="Rc36e806c622e46e6"/>
    <x:sheet xmlns:r="http://schemas.openxmlformats.org/officeDocument/2006/relationships" name="Equipos" sheetId="9" r:id="R81d231279fb745a1"/>
    <x:sheet xmlns:r="http://schemas.openxmlformats.org/officeDocument/2006/relationships" name="Jugadores" sheetId="10" r:id="R79f974bedd9c4221"/>
    <x:sheet xmlns:r="http://schemas.openxmlformats.org/officeDocument/2006/relationships" name="Recordatorios" sheetId="11" r:id="R84fa1915fa504dd0"/>
    <x:sheet xmlns:r="http://schemas.openxmlformats.org/officeDocument/2006/relationships" name="Auditoria" sheetId="12" r:id="Rcd0c2f19d7004a39"/>
    <x:sheet xmlns:r="http://schemas.openxmlformats.org/officeDocument/2006/relationships" name="Fixture" sheetId="13" r:id="Rca8b3221c30f4094"/>
    <x:sheet xmlns:r="http://schemas.openxmlformats.org/officeDocument/2006/relationships" name="Resumen" sheetId="14" r:id="R6bea94a6789d47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S/ 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3A1C0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C1E15"/>
      </x:patternFill>
    </x:fill>
    <x:fill>
      <x:patternFill patternType="solid">
        <x:fgColor rgb="FFF7D46B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A3412"/>
      </x:font>
      <x:fill>
        <x:patternFill patternType="solid">
          <x:bgColor rgb="FFFFEDD5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22deb13bb14a24" /><Relationship Type="http://schemas.openxmlformats.org/officeDocument/2006/relationships/theme" Target="/xl/theme/theme1.xml" Id="R408a0c49f6c146c6" /><Relationship Type="http://schemas.microsoft.com/office/2022/11/relationships/FeaturePropertyBag" Target="/xl/featurePropertyBag/featurePropertyBag.xml" Id="R035c9fba0de14a8e" /><Relationship Type="http://schemas.openxmlformats.org/officeDocument/2006/relationships/sharedStrings" Target="/xl/sharedStrings.xml" Id="R53d02d2d38d146bf" /><Relationship Type="http://schemas.openxmlformats.org/officeDocument/2006/relationships/worksheet" Target="/xl/worksheets/sheet1.xml" Id="R87f70cb084c84bed" /><Relationship Type="http://schemas.openxmlformats.org/officeDocument/2006/relationships/worksheet" Target="/xl/worksheets/sheet2.xml" Id="R2a4acbee79b54954" /><Relationship Type="http://schemas.openxmlformats.org/officeDocument/2006/relationships/worksheet" Target="/xl/worksheets/sheet3.xml" Id="R429b2a6db0964944" /><Relationship Type="http://schemas.openxmlformats.org/officeDocument/2006/relationships/worksheet" Target="/xl/worksheets/sheet4.xml" Id="R0855d45b172d430f" /><Relationship Type="http://schemas.openxmlformats.org/officeDocument/2006/relationships/worksheet" Target="/xl/worksheets/sheet5.xml" Id="R2ec75439775b4e5d" /><Relationship Type="http://schemas.openxmlformats.org/officeDocument/2006/relationships/worksheet" Target="/xl/worksheets/sheet6.xml" Id="Rbe6c5e31728c4d1c" /><Relationship Type="http://schemas.openxmlformats.org/officeDocument/2006/relationships/worksheet" Target="/xl/worksheets/sheet7.xml" Id="R2f176eb8fb0e4d50" /><Relationship Type="http://schemas.openxmlformats.org/officeDocument/2006/relationships/worksheet" Target="/xl/worksheets/sheet8.xml" Id="Rc36e806c622e46e6" /><Relationship Type="http://schemas.openxmlformats.org/officeDocument/2006/relationships/worksheet" Target="/xl/worksheets/sheet9.xml" Id="R81d231279fb745a1" /><Relationship Type="http://schemas.openxmlformats.org/officeDocument/2006/relationships/worksheet" Target="/xl/worksheets/sheet10.xml" Id="R79f974bedd9c4221" /><Relationship Type="http://schemas.openxmlformats.org/officeDocument/2006/relationships/worksheet" Target="/xl/worksheets/sheet11.xml" Id="R84fa1915fa504dd0" /><Relationship Type="http://schemas.openxmlformats.org/officeDocument/2006/relationships/worksheet" Target="/xl/worksheets/sheet12.xml" Id="Rcd0c2f19d7004a39" /><Relationship Type="http://schemas.openxmlformats.org/officeDocument/2006/relationships/worksheet" Target="/xl/worksheets/sheet13.xml" Id="Rca8b3221c30f4094" /><Relationship Type="http://schemas.openxmlformats.org/officeDocument/2006/relationships/worksheet" Target="/xl/worksheets/sheet14.xml" Id="R6bea94a6789d47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</x:cols>
  <x:sheetData>
    <x:row r="1" ht="28" customHeight="1">
      <x:c r="A1" s="6" t="str">
        <x:v>key</x:v>
      </x:c>
      <x:c r="B1" s="6" t="str">
        <x:v>value</x:v>
      </x:c>
      <x:c r="C1" s="6" t="str">
        <x:v>description</x:v>
      </x:c>
    </x:row>
    <x:row r="2">
      <x:c r="A2" s="12" t="str">
        <x:v>APP_NAME</x:v>
      </x:c>
      <x:c r="B2" s="12" t="str">
        <x:v>Campeonato Clausura de Menores 2026</x:v>
      </x:c>
      <x:c r="C2" s="12" t="str">
        <x:v>Nombre del campeonato</x:v>
      </x:c>
    </x:row>
    <x:row r="3">
      <x:c r="A3" s="12" t="str">
        <x:v>CHAMPIONSHIP_ID</x:v>
      </x:c>
      <x:c r="B3" s="12" t="str">
        <x:v>CHAMP_FUT_MEN_CLAUSURA_2026</x:v>
      </x:c>
      <x:c r="C3" s="12" t="str">
        <x:v>Identificador interno</x:v>
      </x:c>
    </x:row>
    <x:row r="4">
      <x:c r="A4" s="12" t="str">
        <x:v>CHAMPIONSHIP_NAME</x:v>
      </x:c>
      <x:c r="B4" s="12" t="str">
        <x:v>Campeonato Municipal Clausura de Fútbol de Menores 2026</x:v>
      </x:c>
      <x:c r="C4" s="12" t="str">
        <x:v>Nombre para órdenes y correos</x:v>
      </x:c>
    </x:row>
    <x:row r="5">
      <x:c r="A5" s="12" t="str">
        <x:v>REGISTRATION_FEE_PER_CATEGORY</x:v>
      </x:c>
      <x:c r="B5" s="12" t="n">
        <x:v>50</x:v>
      </x:c>
      <x:c r="C5" s="12" t="str">
        <x:v>Monto en soles por categoría</x:v>
      </x:c>
    </x:row>
    <x:row r="6">
      <x:c r="A6" s="12" t="str">
        <x:v>PAYMENT_DAYS</x:v>
      </x:c>
      <x:c r="B6" s="12" t="n">
        <x:v>3</x:v>
      </x:c>
      <x:c r="C6" s="12" t="str">
        <x:v>Días calendario del plazo principal</x:v>
      </x:c>
    </x:row>
    <x:row r="7">
      <x:c r="A7" s="12" t="str">
        <x:v>PAYMENT_GRACE_DAYS</x:v>
      </x:c>
      <x:c r="B7" s="12" t="n">
        <x:v>2</x:v>
      </x:c>
      <x:c r="C7" s="12" t="str">
        <x:v>Días calendario adicionales de gracia</x:v>
      </x:c>
    </x:row>
    <x:row r="8">
      <x:c r="A8" s="12" t="str">
        <x:v>START_DATE</x:v>
      </x:c>
      <x:c r="B8" s="12" t="str">
        <x:v>2026-08-23</x:v>
      </x:c>
      <x:c r="C8" s="12" t="str">
        <x:v>Fecha de inicio</x:v>
      </x:c>
    </x:row>
    <x:row r="9">
      <x:c r="A9" s="12" t="str">
        <x:v>REGISTRATION_HOURS</x:v>
      </x:c>
      <x:c r="B9" s="12" t="str">
        <x:v>8:00 a. m. a 5:00 p. m.</x:v>
      </x:c>
      <x:c r="C9" s="12" t="str">
        <x:v>Horario de inscripción</x:v>
      </x:c>
    </x:row>
    <x:row r="10">
      <x:c r="A10" s="12" t="str">
        <x:v>VENUE</x:v>
      </x:c>
      <x:c r="B10" s="12" t="str">
        <x:v>Estadio del Sector B - Huertos de Manchay</x:v>
      </x:c>
      <x:c r="C10" s="12" t="str">
        <x:v>Sede principal</x:v>
      </x:c>
    </x:row>
    <x:row r="11">
      <x:c r="A11" s="12" t="str">
        <x:v>CONTACT_PHONE</x:v>
      </x:c>
      <x:c r="B11" s="12" t="str">
        <x:v>992211457</x:v>
      </x:c>
      <x:c r="C11" s="12" t="str">
        <x:v>Número de informes</x:v>
      </x:c>
    </x:row>
    <x:row r="12">
      <x:c r="A12" s="12" t="str">
        <x:v>MIN_ROSTER</x:v>
      </x:c>
      <x:c r="B12" s="12" t="n">
        <x:v>9</x:v>
      </x:c>
      <x:c r="C12" s="12" t="str">
        <x:v>Mínimo provisional: las bases dicen “mínimo de ocho (09)”</x:v>
      </x:c>
    </x:row>
    <x:row r="13">
      <x:c r="A13" s="12" t="str">
        <x:v>MAX_ROSTER</x:v>
      </x:c>
      <x:c r="B13" s="12" t="n">
        <x:v>12</x:v>
      </x:c>
      <x:c r="C13" s="12" t="str">
        <x:v>Máximo de jugadores por categoría</x:v>
      </x:c>
    </x:row>
    <x:row r="14">
      <x:c r="A14" s="12" t="str">
        <x:v>PUBLIC_BASE_URL</x:v>
      </x:c>
      <x:c r="B14" s="12" t="str">
        <x:v>https://pachacamacdeportes.com/campeonato-clausura-2026</x:v>
      </x:c>
      <x:c r="C14" s="12" t="str">
        <x:v>URL pública</x:v>
      </x:c>
    </x:row>
    <x:row r="15">
      <x:c r="A15" s="12" t="str">
        <x:v>ADMIN_EMAIL</x:v>
      </x:c>
      <x:c r="B15" s="12" t="str">
        <x:v>pachacamacdeportes@gmail.com</x:v>
      </x:c>
      <x:c r="C15" s="12" t="str">
        <x:v>Correo de administración</x:v>
      </x:c>
    </x:row>
    <x:row r="16">
      <x:c r="A16" s="12" t="str">
        <x:v>CASHIER_EMAILS</x:v>
      </x:c>
      <x:c r="B16" s="12" t="str">
        <x:v>pachacamacdeportes@gmail.com,caja1.pachacamadeportes@gmail.com,caja2.pachacamadeportes@gmail.com</x:v>
      </x:c>
      <x:c r="C16" s="12" t="str">
        <x:v>Correos autorizados para caja</x:v>
      </x:c>
    </x:row>
    <x:row r="17">
      <x:c r="A17" s="12" t="str">
        <x:v>ONLINE_PAYMENT_URL_TEMPLATE</x:v>
      </x:c>
      <x:c r="B17" s="12" t="str"/>
      <x:c r="C17" s="12" t="str">
        <x:v>URL de checkout del proveedor</x:v>
      </x:c>
    </x:row>
    <x:row r="18">
      <x:c r="A18" s="12" t="str">
        <x:v>ONLINE_PAYMENT_WEBHOOK_TOKEN</x:v>
      </x:c>
      <x:c r="B18" s="12" t="str"/>
      <x:c r="C18" s="12" t="str">
        <x:v>Token secreto de webhook</x:v>
      </x:c>
    </x:row>
    <x:row r="19">
      <x:c r="A19" s="12" t="str">
        <x:v>FILES_FOLDER_ID</x:v>
      </x:c>
      <x:c r="B19" s="12" t="str"/>
      <x:c r="C19" s="12" t="str">
        <x:v>Carpeta de Drive para documentos</x:v>
      </x:c>
    </x:row>
    <x:row r="20">
      <x:c r="A20" s="12" t="str">
        <x:v>SESSION_HOURS</x:v>
      </x:c>
      <x:c r="B20" s="12" t="n">
        <x:v>12</x:v>
      </x:c>
      <x:c r="C20" s="12" t="str">
        <x:v>Duración de sesión</x:v>
      </x:c>
    </x:row>
    <x:row r="21">
      <x:c r="A21" s="12" t="str">
        <x:v>TIMEZONE</x:v>
      </x:c>
      <x:c r="B21" s="12" t="str">
        <x:v>America/Lima</x:v>
      </x:c>
      <x:c r="C21" s="12" t="str">
        <x:v>Zona horaria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8" customHeight="1">
      <x:c r="A1" s="6" t="str">
        <x:v>categoryId</x:v>
      </x:c>
      <x:c r="B1" s="6" t="str">
        <x:v>name</x:v>
      </x:c>
      <x:c r="C1" s="6" t="str">
        <x:v>label</x:v>
      </x:c>
      <x:c r="D1" s="6" t="str">
        <x:v>birthYears</x:v>
      </x:c>
      <x:c r="E1" s="6" t="str">
        <x:v>minBirthYear</x:v>
      </x:c>
      <x:c r="F1" s="6" t="str">
        <x:v>maxBirthYear</x:v>
      </x:c>
      <x:c r="G1" s="6" t="str">
        <x:v>mode</x:v>
      </x:c>
      <x:c r="H1" s="6" t="str">
        <x:v>playersOnField</x:v>
      </x:c>
      <x:c r="I1" s="6" t="str">
        <x:v>minPlayersOnField</x:v>
      </x:c>
      <x:c r="J1" s="6" t="str">
        <x:v>minRoster</x:v>
      </x:c>
      <x:c r="K1" s="6" t="str">
        <x:v>maxRoster</x:v>
      </x:c>
      <x:c r="L1" s="6" t="str">
        <x:v>fee</x:v>
      </x:c>
      <x:c r="M1" s="6" t="str">
        <x:v>active</x:v>
      </x:c>
    </x:row>
    <x:row r="2">
      <x:c r="A2" s="12" t="str">
        <x:v>SUB6</x:v>
      </x:c>
      <x:c r="B2" s="12" t="str">
        <x:v>SUB 6</x:v>
      </x:c>
      <x:c r="C2" s="12" t="str">
        <x:v>Sub 6</x:v>
      </x:c>
      <x:c r="D2" s="12" t="str">
        <x:v>2020 - 2021</x:v>
      </x:c>
      <x:c r="E2" s="12" t="n">
        <x:v>2020</x:v>
      </x:c>
      <x:c r="F2" s="12" t="n">
        <x:v>2021</x:v>
      </x:c>
      <x:c r="G2" s="12" t="str">
        <x:v>FÚTBOL 7</x:v>
      </x:c>
      <x:c r="H2" s="12" t="n">
        <x:v>7</x:v>
      </x:c>
      <x:c r="I2" s="12" t="n">
        <x:v>5</x:v>
      </x:c>
      <x:c r="J2" s="12" t="n">
        <x:v>9</x:v>
      </x:c>
      <x:c r="K2" s="12" t="n">
        <x:v>12</x:v>
      </x:c>
      <x:c r="L2" s="12" t="n">
        <x:v>50</x:v>
      </x:c>
      <x:c r="M2" s="16" t="b">
        <x:v>1</x:v>
      </x:c>
    </x:row>
    <x:row r="3">
      <x:c r="A3" s="12" t="str">
        <x:v>SUB8</x:v>
      </x:c>
      <x:c r="B3" s="12" t="str">
        <x:v>SUB 8</x:v>
      </x:c>
      <x:c r="C3" s="12" t="str">
        <x:v>Sub 8</x:v>
      </x:c>
      <x:c r="D3" s="12" t="str">
        <x:v>2018 - 2019</x:v>
      </x:c>
      <x:c r="E3" s="12" t="n">
        <x:v>2018</x:v>
      </x:c>
      <x:c r="F3" s="12" t="n">
        <x:v>2019</x:v>
      </x:c>
      <x:c r="G3" s="12" t="str">
        <x:v>FÚTBOL 7</x:v>
      </x:c>
      <x:c r="H3" s="12" t="n">
        <x:v>7</x:v>
      </x:c>
      <x:c r="I3" s="12" t="n">
        <x:v>5</x:v>
      </x:c>
      <x:c r="J3" s="12" t="n">
        <x:v>9</x:v>
      </x:c>
      <x:c r="K3" s="12" t="n">
        <x:v>12</x:v>
      </x:c>
      <x:c r="L3" s="12" t="n">
        <x:v>50</x:v>
      </x:c>
      <x:c r="M3" s="16" t="b">
        <x:v>1</x:v>
      </x:c>
    </x:row>
    <x:row r="4">
      <x:c r="A4" s="12" t="str">
        <x:v>SUB10</x:v>
      </x:c>
      <x:c r="B4" s="12" t="str">
        <x:v>SUB 10</x:v>
      </x:c>
      <x:c r="C4" s="12" t="str">
        <x:v>Sub 10</x:v>
      </x:c>
      <x:c r="D4" s="12" t="str">
        <x:v>2016 - 2017</x:v>
      </x:c>
      <x:c r="E4" s="12" t="n">
        <x:v>2016</x:v>
      </x:c>
      <x:c r="F4" s="12" t="n">
        <x:v>2017</x:v>
      </x:c>
      <x:c r="G4" s="12" t="str">
        <x:v>FÚTBOL 9</x:v>
      </x:c>
      <x:c r="H4" s="12" t="n">
        <x:v>9</x:v>
      </x:c>
      <x:c r="I4" s="12" t="n">
        <x:v>7</x:v>
      </x:c>
      <x:c r="J4" s="12" t="n">
        <x:v>9</x:v>
      </x:c>
      <x:c r="K4" s="12" t="n">
        <x:v>12</x:v>
      </x:c>
      <x:c r="L4" s="12" t="n">
        <x:v>50</x:v>
      </x:c>
      <x:c r="M4" s="16" t="b">
        <x:v>1</x:v>
      </x:c>
    </x:row>
    <x:row r="5">
      <x:c r="A5" s="12" t="str">
        <x:v>SUB12</x:v>
      </x:c>
      <x:c r="B5" s="12" t="str">
        <x:v>SUB 12</x:v>
      </x:c>
      <x:c r="C5" s="12" t="str">
        <x:v>Sub 12</x:v>
      </x:c>
      <x:c r="D5" s="12" t="str">
        <x:v>2014 - 2015</x:v>
      </x:c>
      <x:c r="E5" s="12" t="n">
        <x:v>2014</x:v>
      </x:c>
      <x:c r="F5" s="12" t="n">
        <x:v>2015</x:v>
      </x:c>
      <x:c r="G5" s="12" t="str">
        <x:v>FÚTBOL 9</x:v>
      </x:c>
      <x:c r="H5" s="12" t="n">
        <x:v>9</x:v>
      </x:c>
      <x:c r="I5" s="12" t="n">
        <x:v>7</x:v>
      </x:c>
      <x:c r="J5" s="12" t="n">
        <x:v>9</x:v>
      </x:c>
      <x:c r="K5" s="12" t="n">
        <x:v>12</x:v>
      </x:c>
      <x:c r="L5" s="12" t="n">
        <x:v>50</x:v>
      </x:c>
      <x:c r="M5" s="16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4" hidden="0" customWidth="1"/>
    <x:col min="11" max="11" width="18" hidden="0" customWidth="1"/>
    <x:col min="12" max="12" width="18" hidden="0" customWidth="1"/>
    <x:col min="13" max="13" width="18" hidden="0" customWidth="1"/>
    <x:col min="14" max="14" width="24" hidden="0" customWidth="1"/>
    <x:col min="15" max="15" width="24" hidden="0" customWidth="1"/>
    <x:col min="16" max="16" width="18" hidden="0" customWidth="1"/>
    <x:col min="17" max="17" width="24" hidden="0" customWidth="1"/>
    <x:col min="18" max="18" width="18" hidden="0" customWidth="1"/>
    <x:col min="19" max="19" width="30" hidden="0" customWidth="1"/>
    <x:col min="20" max="20" width="18" hidden="0" customWidth="1"/>
    <x:col min="21" max="21" width="18" hidden="0" customWidth="1"/>
    <x:col min="22" max="22" width="20" hidden="0" customWidth="1"/>
    <x:col min="23" max="23" width="20" hidden="0" customWidth="1"/>
    <x:col min="24" max="24" width="20" hidden="0" customWidth="1"/>
    <x:col min="25" max="25" width="30" hidden="0" customWidth="1"/>
  </x:cols>
  <x:sheetData>
    <x:row r="1" ht="28" customHeight="1">
      <x:c r="A1" s="6" t="str">
        <x:v>registrationId</x:v>
      </x:c>
      <x:c r="B1" s="6" t="str">
        <x:v>orderCode</x:v>
      </x:c>
      <x:c r="C1" s="6" t="str">
        <x:v>createdAt</x:v>
      </x:c>
      <x:c r="D1" s="6" t="str">
        <x:v>paymentDeadline</x:v>
      </x:c>
      <x:c r="E1" s="6" t="str">
        <x:v>graceDeadline</x:v>
      </x:c>
      <x:c r="F1" s="6" t="str">
        <x:v>status</x:v>
      </x:c>
      <x:c r="G1" s="6" t="str">
        <x:v>representativeRole</x:v>
      </x:c>
      <x:c r="H1" s="6" t="str">
        <x:v>firstName</x:v>
      </x:c>
      <x:c r="I1" s="6" t="str">
        <x:v>lastName</x:v>
      </x:c>
      <x:c r="J1" s="6" t="str">
        <x:v>representativeName</x:v>
      </x:c>
      <x:c r="K1" s="6" t="str">
        <x:v>documentType</x:v>
      </x:c>
      <x:c r="L1" s="6" t="str">
        <x:v>documentNumber</x:v>
      </x:c>
      <x:c r="M1" s="6" t="str">
        <x:v>whatsapp</x:v>
      </x:c>
      <x:c r="N1" s="6" t="str">
        <x:v>email</x:v>
      </x:c>
      <x:c r="O1" s="6" t="str">
        <x:v>teamName</x:v>
      </x:c>
      <x:c r="P1" s="6" t="str">
        <x:v>hasBusinessData</x:v>
      </x:c>
      <x:c r="Q1" s="6" t="str">
        <x:v>legalName</x:v>
      </x:c>
      <x:c r="R1" s="6" t="str">
        <x:v>ruc</x:v>
      </x:c>
      <x:c r="S1" s="6" t="str">
        <x:v>categories</x:v>
      </x:c>
      <x:c r="T1" s="6" t="str">
        <x:v>categoryCount</x:v>
      </x:c>
      <x:c r="U1" s="6" t="str">
        <x:v>total</x:v>
      </x:c>
      <x:c r="V1" s="6" t="str">
        <x:v>lastReminderDate</x:v>
      </x:c>
      <x:c r="W1" s="6" t="str">
        <x:v>activatedAt</x:v>
      </x:c>
      <x:c r="X1" s="6" t="str">
        <x:v>disabledAt</x:v>
      </x:c>
      <x:c r="Y1" s="6" t="str">
        <x:v>notes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</x:row>
  </x:sheetData>
  <x:conditionalFormatting sqref="F2:F1000">
    <x:cfRule type="expression" dxfId="0" priority="1">
      <x:formula>F2="ACTIVA"</x:formula>
    </x:cfRule>
    <x:cfRule type="expression" dxfId="1" priority="2">
      <x:formula>F2="PENDIENTE_PAGO"</x:formula>
    </x:cfRule>
    <x:cfRule type="expression" dxfId="2" priority="3">
      <x:formula>F2="INHABILITADA"</x:formula>
    </x:cfRule>
  </x:conditionalFormatting>
  <x:dataValidations count="1">
    <x:dataValidation type="list" sqref="F2:F1000">
      <x:formula1>"PENDIENTE_PAGO,PERIODO_GRACIA,ACTIVA,INHABILITADA"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</x:cols>
  <x:sheetData>
    <x:row r="1" ht="28" customHeight="1">
      <x:c r="A1" s="6" t="str">
        <x:v>registrationId</x:v>
      </x:c>
      <x:c r="B1" s="6" t="str">
        <x:v>categoryId</x:v>
      </x:c>
      <x:c r="C1" s="6" t="str">
        <x:v>categoryLabel</x:v>
      </x:c>
      <x:c r="D1" s="6" t="str">
        <x:v>fee</x:v>
      </x:c>
      <x:c r="E1" s="6" t="str">
        <x:v>status</x:v>
      </x:c>
      <x:c r="F1" s="6" t="str">
        <x:v>createdAt</x:v>
      </x:c>
    </x:row>
    <x:row r="2">
      <x:c r="A2" s="12"/>
      <x:c r="B2" s="12"/>
      <x:c r="C2" s="12"/>
      <x:c r="D2" s="12"/>
      <x:c r="E2" s="12"/>
      <x:c r="F2" s="1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20" hidden="0" customWidth="1"/>
    <x:col min="10" max="10" width="30" hidden="0" customWidth="1"/>
    <x:col min="11" max="11" width="20" hidden="0" customWidth="1"/>
    <x:col min="12" max="12" width="20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8" customHeight="1">
      <x:c r="A1" s="6" t="str">
        <x:v>orderCode</x:v>
      </x:c>
      <x:c r="B1" s="6" t="str">
        <x:v>registrationId</x:v>
      </x:c>
      <x:c r="C1" s="6" t="str">
        <x:v>description</x:v>
      </x:c>
      <x:c r="D1" s="6" t="str">
        <x:v>categories</x:v>
      </x:c>
      <x:c r="E1" s="6" t="str">
        <x:v>amount</x:v>
      </x:c>
      <x:c r="F1" s="6" t="str">
        <x:v>currency</x:v>
      </x:c>
      <x:c r="G1" s="6" t="str">
        <x:v>status</x:v>
      </x:c>
      <x:c r="H1" s="6" t="str">
        <x:v>paymentDeadline</x:v>
      </x:c>
      <x:c r="I1" s="6" t="str">
        <x:v>graceDeadline</x:v>
      </x:c>
      <x:c r="J1" s="6" t="str">
        <x:v>onlinePaymentUrl</x:v>
      </x:c>
      <x:c r="K1" s="6" t="str">
        <x:v>createdAt</x:v>
      </x:c>
      <x:c r="L1" s="6" t="str">
        <x:v>paidAt</x:v>
      </x:c>
      <x:c r="M1" s="6" t="str">
        <x:v>paymentMethod</x:v>
      </x:c>
      <x:c r="N1" s="6" t="str">
        <x:v>receiptNumber</x:v>
      </x:c>
      <x:c r="O1" s="6" t="str">
        <x:v>confirmedBy</x:v>
      </x:c>
      <x:c r="P1" s="6" t="str">
        <x:v>gatewayReference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</x:row>
  </x:sheetData>
  <x:conditionalFormatting sqref="G2:G1000">
    <x:cfRule type="expression" dxfId="3" priority="1">
      <x:formula>G2="PAGADO"</x:formula>
    </x:cfRule>
    <x:cfRule type="expression" dxfId="4" priority="2">
      <x:formula>G2="VENCIDO"</x:formula>
    </x:cfRule>
  </x:conditionalFormatting>
  <x:dataValidations count="1">
    <x:dataValidation type="list" sqref="G2:G1000">
      <x:formula1>"PENDIENTE,PAGADO,VENCIDO"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18" hidden="0" customWidth="1"/>
    <x:col min="10" max="10" width="18" hidden="0" customWidth="1"/>
    <x:col min="11" max="11" width="30" hidden="0" customWidth="1"/>
  </x:cols>
  <x:sheetData>
    <x:row r="1" ht="28" customHeight="1">
      <x:c r="A1" s="6" t="str">
        <x:v>paymentId</x:v>
      </x:c>
      <x:c r="B1" s="6" t="str">
        <x:v>orderCode</x:v>
      </x:c>
      <x:c r="C1" s="6" t="str">
        <x:v>registrationId</x:v>
      </x:c>
      <x:c r="D1" s="6" t="str">
        <x:v>amount</x:v>
      </x:c>
      <x:c r="E1" s="6" t="str">
        <x:v>method</x:v>
      </x:c>
      <x:c r="F1" s="6" t="str">
        <x:v>receiptNumber</x:v>
      </x:c>
      <x:c r="G1" s="6" t="str">
        <x:v>status</x:v>
      </x:c>
      <x:c r="H1" s="6" t="str">
        <x:v>paidAt</x:v>
      </x:c>
      <x:c r="I1" s="6" t="str">
        <x:v>confirmedBy</x:v>
      </x:c>
      <x:c r="J1" s="6" t="str">
        <x:v>gatewayReference</x:v>
      </x:c>
      <x:c r="K1" s="6" t="str">
        <x:v>notes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</x:sheetData>
  <x:dataValidations count="1">
    <x:dataValidation type="list" sqref="E2:E1000">
      <x:formula1>"CAJA_MUNICIPAL,PAGO_ONLINE"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0" hidden="0" customWidth="1"/>
  </x:cols>
  <x:sheetData>
    <x:row r="1" ht="28" customHeight="1">
      <x:c r="A1" s="6" t="str">
        <x:v>userId</x:v>
      </x:c>
      <x:c r="B1" s="6" t="str">
        <x:v>registrationId</x:v>
      </x:c>
      <x:c r="C1" s="6" t="str">
        <x:v>email</x:v>
      </x:c>
      <x:c r="D1" s="6" t="str">
        <x:v>documentNumber</x:v>
      </x:c>
      <x:c r="E1" s="6" t="str">
        <x:v>passwordHash</x:v>
      </x:c>
      <x:c r="F1" s="6" t="str">
        <x:v>salt</x:v>
      </x:c>
      <x:c r="G1" s="6" t="str">
        <x:v>role</x:v>
      </x:c>
      <x:c r="H1" s="6" t="str">
        <x:v>status</x:v>
      </x:c>
      <x:c r="I1" s="6" t="str">
        <x:v>createdAt</x:v>
      </x:c>
      <x:c r="J1" s="6" t="str">
        <x:v>lastLoginAt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8" customHeight="1">
      <x:c r="A1" s="6" t="str">
        <x:v>token</x:v>
      </x:c>
      <x:c r="B1" s="6" t="str">
        <x:v>userId</x:v>
      </x:c>
      <x:c r="C1" s="6" t="str">
        <x:v>registrationId</x:v>
      </x:c>
      <x:c r="D1" s="6" t="str">
        <x:v>createdAt</x:v>
      </x:c>
      <x:c r="E1" s="6" t="str">
        <x:v>expiresAt</x:v>
      </x:c>
      <x:c r="F1" s="6" t="str">
        <x:v>revokedAt</x:v>
      </x:c>
    </x:row>
    <x:row r="2">
      <x:c r="A2" s="12"/>
      <x:c r="B2" s="12"/>
      <x:c r="C2" s="12"/>
      <x:c r="D2" s="12"/>
      <x:c r="E2" s="12"/>
      <x:c r="F2" s="1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18" hidden="0" customWidth="1"/>
    <x:col min="6" max="6" width="24" hidden="0" customWidth="1"/>
    <x:col min="7" max="7" width="24" hidden="0" customWidth="1"/>
    <x:col min="8" max="8" width="18" hidden="0" customWidth="1"/>
    <x:col min="9" max="9" width="30" hidden="0" customWidth="1"/>
    <x:col min="10" max="10" width="18" hidden="0" customWidth="1"/>
    <x:col min="11" max="11" width="20" hidden="0" customWidth="1"/>
    <x:col min="12" max="12" width="20" hidden="0" customWidth="1"/>
  </x:cols>
  <x:sheetData>
    <x:row r="1" ht="28" customHeight="1">
      <x:c r="A1" s="6" t="str">
        <x:v>teamId</x:v>
      </x:c>
      <x:c r="B1" s="6" t="str">
        <x:v>registrationId</x:v>
      </x:c>
      <x:c r="C1" s="6" t="str">
        <x:v>teamName</x:v>
      </x:c>
      <x:c r="D1" s="6" t="str">
        <x:v>legalName</x:v>
      </x:c>
      <x:c r="E1" s="6" t="str">
        <x:v>ruc</x:v>
      </x:c>
      <x:c r="F1" s="6" t="str">
        <x:v>representativeName</x:v>
      </x:c>
      <x:c r="G1" s="6" t="str">
        <x:v>email</x:v>
      </x:c>
      <x:c r="H1" s="6" t="str">
        <x:v>whatsapp</x:v>
      </x:c>
      <x:c r="I1" s="6" t="str">
        <x:v>categories</x:v>
      </x:c>
      <x:c r="J1" s="6" t="str">
        <x:v>status</x:v>
      </x:c>
      <x:c r="K1" s="6" t="str">
        <x:v>createdAt</x:v>
      </x:c>
      <x:c r="L1" s="6" t="str">
        <x:v>activatedAt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0" hidden="0" customWidth="1"/>
    <x:col min="12" max="12" width="18" hidden="0" customWidth="1"/>
    <x:col min="13" max="13" width="18" hidden="0" customWidth="1"/>
    <x:col min="14" max="14" width="30" hidden="0" customWidth="1"/>
    <x:col min="15" max="15" width="18" hidden="0" customWidth="1"/>
    <x:col min="16" max="16" width="30" hidden="0" customWidth="1"/>
    <x:col min="17" max="17" width="18" hidden="0" customWidth="1"/>
    <x:col min="18" max="18" width="30" hidden="0" customWidth="1"/>
    <x:col min="19" max="19" width="18" hidden="0" customWidth="1"/>
    <x:col min="20" max="20" width="20" hidden="0" customWidth="1"/>
    <x:col min="21" max="21" width="20" hidden="0" customWidth="1"/>
    <x:col min="22" max="22" width="30" hidden="0" customWidth="1"/>
  </x:cols>
  <x:sheetData>
    <x:row r="1" ht="28" customHeight="1">
      <x:c r="A1" s="6" t="str">
        <x:v>playerId</x:v>
      </x:c>
      <x:c r="B1" s="6" t="str">
        <x:v>registrationId</x:v>
      </x:c>
      <x:c r="C1" s="6" t="str">
        <x:v>teamId</x:v>
      </x:c>
      <x:c r="D1" s="6" t="str">
        <x:v>teamName</x:v>
      </x:c>
      <x:c r="E1" s="6" t="str">
        <x:v>categoryId</x:v>
      </x:c>
      <x:c r="F1" s="6" t="str">
        <x:v>firstName</x:v>
      </x:c>
      <x:c r="G1" s="6" t="str">
        <x:v>lastName</x:v>
      </x:c>
      <x:c r="H1" s="6" t="str">
        <x:v>fullName</x:v>
      </x:c>
      <x:c r="I1" s="6" t="str">
        <x:v>documentType</x:v>
      </x:c>
      <x:c r="J1" s="6" t="str">
        <x:v>documentNumber</x:v>
      </x:c>
      <x:c r="K1" s="6" t="str">
        <x:v>birthDate</x:v>
      </x:c>
      <x:c r="L1" s="6" t="str">
        <x:v>birthYear</x:v>
      </x:c>
      <x:c r="M1" s="6" t="str">
        <x:v>photoFileId</x:v>
      </x:c>
      <x:c r="N1" s="6" t="str">
        <x:v>photoUrl</x:v>
      </x:c>
      <x:c r="O1" s="6" t="str">
        <x:v>documentFileId</x:v>
      </x:c>
      <x:c r="P1" s="6" t="str">
        <x:v>documentUrl</x:v>
      </x:c>
      <x:c r="Q1" s="6" t="str">
        <x:v>authorizationFileId</x:v>
      </x:c>
      <x:c r="R1" s="6" t="str">
        <x:v>authorizationUrl</x:v>
      </x:c>
      <x:c r="S1" s="6" t="str">
        <x:v>status</x:v>
      </x:c>
      <x:c r="T1" s="6" t="str">
        <x:v>createdAt</x:v>
      </x:c>
      <x:c r="U1" s="6" t="str">
        <x:v>updatedAt</x:v>
      </x:c>
      <x:c r="V1" s="6" t="str">
        <x:v>notes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</x:row>
  </x:sheetData>
  <x:dataValidations count="2">
    <x:dataValidation type="list" sqref="E2:E1000">
      <x:formula1>Categorias!$A$2:$A$5</x:formula1>
    </x:dataValidation>
    <x:dataValidation type="list" sqref="S2:S1000">
      <x:formula1>"ACTIVO,OBSERVADO,ELIMINADO"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6" t="str">
        <x:v>reminderId</x:v>
      </x:c>
      <x:c r="B1" s="6" t="str">
        <x:v>registrationId</x:v>
      </x:c>
      <x:c r="C1" s="6" t="str">
        <x:v>orderCode</x:v>
      </x:c>
      <x:c r="D1" s="6" t="str">
        <x:v>type</x:v>
      </x:c>
      <x:c r="E1" s="6" t="str">
        <x:v>sentTo</x:v>
      </x:c>
      <x:c r="F1" s="6" t="str">
        <x:v>sentAt</x:v>
      </x:c>
      <x:c r="G1" s="6" t="str">
        <x:v>daysRemaining</x:v>
      </x:c>
      <x:c r="H1" s="6" t="str">
        <x:v>status</x:v>
      </x:c>
      <x:c r="I1" s="6" t="str">
        <x:v>error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0" hidden="0" customWidth="1"/>
    <x:col min="6" max="6" width="18" hidden="0" customWidth="1"/>
    <x:col min="7" max="7" width="20" hidden="0" customWidth="1"/>
  </x:cols>
  <x:sheetData>
    <x:row r="1" ht="28" customHeight="1">
      <x:c r="A1" s="6" t="str">
        <x:v>auditId</x:v>
      </x:c>
      <x:c r="B1" s="6" t="str">
        <x:v>entity</x:v>
      </x:c>
      <x:c r="C1" s="6" t="str">
        <x:v>entityId</x:v>
      </x:c>
      <x:c r="D1" s="6" t="str">
        <x:v>action</x:v>
      </x:c>
      <x:c r="E1" s="6" t="str">
        <x:v>details</x:v>
      </x:c>
      <x:c r="F1" s="6" t="str">
        <x:v>user</x:v>
      </x:c>
      <x:c r="G1" s="6" t="str">
        <x:v>createdAt</x:v>
      </x:c>
    </x:row>
    <x:row r="2">
      <x:c r="A2" s="12"/>
      <x:c r="B2" s="12"/>
      <x:c r="C2" s="12"/>
      <x:c r="D2" s="12"/>
      <x:c r="E2" s="12"/>
      <x:c r="F2" s="12"/>
      <x:c r="G2" s="1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0" hidden="0" customWidth="1"/>
  </x:cols>
  <x:sheetData>
    <x:row r="1" ht="28" customHeight="1">
      <x:c r="A1" s="6" t="str">
        <x:v>matchId</x:v>
      </x:c>
      <x:c r="B1" s="6" t="str">
        <x:v>groupName</x:v>
      </x:c>
      <x:c r="C1" s="6" t="str">
        <x:v>round</x:v>
      </x:c>
      <x:c r="D1" s="6" t="str">
        <x:v>matchDate</x:v>
      </x:c>
      <x:c r="E1" s="6" t="str">
        <x:v>time</x:v>
      </x:c>
      <x:c r="F1" s="6" t="str">
        <x:v>field</x:v>
      </x:c>
      <x:c r="G1" s="6" t="str">
        <x:v>homeTeam</x:v>
      </x:c>
      <x:c r="H1" s="6" t="str">
        <x:v>awayTeam</x:v>
      </x:c>
      <x:c r="I1" s="6" t="str">
        <x:v>categoryId</x:v>
      </x:c>
      <x:c r="J1" s="6" t="str">
        <x:v>status</x:v>
      </x:c>
      <x:c r="K1" s="6" t="str">
        <x:v>homeScore</x:v>
      </x:c>
      <x:c r="L1" s="6" t="str">
        <x:v>awayScore</x:v>
      </x:c>
      <x:c r="M1" s="6" t="str">
        <x:v>notes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34" t="str">
        <x:v>Campeonato Clausura de Menores 2026 - Resumen operativo</x:v>
      </x:c>
      <x:c r="B1" s="34"/>
      <x:c r="C1" s="34"/>
      <x:c r="D1" s="34"/>
      <x:c r="E1" s="34"/>
      <x:c r="F1" s="34"/>
      <x:c r="G1" s="34"/>
      <x:c r="H1" s="34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35" t="str">
        <x:v>Indicador</x:v>
      </x:c>
      <x:c r="B3" s="35" t="str">
        <x:v>Valor</x:v>
      </x:c>
      <x:c r="C3" s="12"/>
      <x:c r="D3" s="35" t="str">
        <x:v>Finanzas</x:v>
      </x:c>
      <x:c r="E3" s="35" t="str">
        <x:v>Valor</x:v>
      </x:c>
      <x:c r="F3" s="12"/>
      <x:c r="G3" s="12"/>
      <x:c r="H3" s="12"/>
    </x:row>
    <x:row r="4">
      <x:c r="A4" s="12" t="str">
        <x:v>Inscripciones totales</x:v>
      </x:c>
      <x:c r="B4" s="12" t="n">
        <x:f>COUNTA(Inscripciones!A2:A1000)</x:f>
        <x:v>0</x:v>
      </x:c>
      <x:c r="C4" s="12"/>
      <x:c r="D4" s="12" t="str">
        <x:v>Monto esperado</x:v>
      </x:c>
      <x:c r="E4" s="36" t="n">
        <x:f>SUM(Inscripciones!U2:U1000)</x:f>
        <x:v>0</x:v>
      </x:c>
      <x:c r="F4" s="12"/>
      <x:c r="G4" s="12"/>
      <x:c r="H4" s="12"/>
    </x:row>
    <x:row r="5">
      <x:c r="A5" s="12" t="str">
        <x:v>Inscripciones activas</x:v>
      </x:c>
      <x:c r="B5" s="12" t="n">
        <x:f>COUNTIF(Inscripciones!F2:F1000,"ACTIVA")</x:f>
        <x:v>0</x:v>
      </x:c>
      <x:c r="C5" s="12"/>
      <x:c r="D5" s="12" t="str">
        <x:v>Monto pagado</x:v>
      </x:c>
      <x:c r="E5" s="36" t="n">
        <x:f>SUM(Pagos!D2:D1000)</x:f>
        <x:v>0</x:v>
      </x:c>
      <x:c r="F5" s="12"/>
      <x:c r="G5" s="12"/>
      <x:c r="H5" s="12"/>
    </x:row>
    <x:row r="6">
      <x:c r="A6" s="12" t="str">
        <x:v>Pendientes / gracia</x:v>
      </x:c>
      <x:c r="B6" s="12" t="n">
        <x:f>COUNTIF(Inscripciones!F2:F1000,"PENDIENTE_PAGO")+COUNTIF(Inscripciones!F2:F1000,"PERIODO_GRACIA")</x:f>
        <x:v>0</x:v>
      </x:c>
      <x:c r="C6" s="12"/>
      <x:c r="D6" s="12" t="str">
        <x:v>Órdenes pendientes</x:v>
      </x:c>
      <x:c r="E6" s="12" t="n">
        <x:f>COUNTIF(Ordenes_Pago!G2:G1000,"PENDIENTE")</x:f>
        <x:v>0</x:v>
      </x:c>
      <x:c r="F6" s="12"/>
      <x:c r="G6" s="12"/>
      <x:c r="H6" s="12"/>
    </x:row>
    <x:row r="7">
      <x:c r="A7" s="12" t="str">
        <x:v>Inhabilitadas</x:v>
      </x:c>
      <x:c r="B7" s="12" t="n">
        <x:f>COUNTIF(Inscripciones!F2:F1000,"INHABILITADA")</x:f>
        <x:v>0</x:v>
      </x:c>
      <x:c r="C7" s="12"/>
      <x:c r="D7" s="12" t="str">
        <x:v>Jugadores registrados</x:v>
      </x:c>
      <x:c r="E7" s="12" t="n">
        <x:f>COUNTA(Jugadores!A2:A1000)</x:f>
        <x:v>0</x:v>
      </x:c>
      <x:c r="F7" s="12"/>
      <x:c r="G7" s="12"/>
      <x:c r="H7" s="12"/>
    </x:row>
    <x:row r="8">
      <x:c r="A8" s="12"/>
      <x:c r="B8" s="12"/>
      <x:c r="C8" s="12"/>
      <x:c r="D8" s="12"/>
      <x:c r="E8" s="12"/>
      <x:c r="F8" s="12"/>
      <x:c r="G8" s="12"/>
      <x:c r="H8" s="12"/>
    </x:row>
    <x:row r="9">
      <x:c r="A9" s="35" t="str">
        <x:v>Parámetro</x:v>
      </x:c>
      <x:c r="B9" s="35" t="str">
        <x:v>Configuración</x:v>
      </x:c>
      <x:c r="C9" s="35" t="str"/>
      <x:c r="D9" s="35" t="str"/>
      <x:c r="E9" s="35" t="str"/>
      <x:c r="F9" s="35" t="str"/>
      <x:c r="G9" s="35" t="str"/>
      <x:c r="H9" s="35" t="str"/>
    </x:row>
    <x:row r="10">
      <x:c r="A10" s="12" t="str">
        <x:v>Cuota por categoría</x:v>
      </x:c>
      <x:c r="B10" s="12" t="n">
        <x:v>50</x:v>
      </x:c>
      <x:c r="C10" s="12" t="str"/>
      <x:c r="D10" s="12" t="str"/>
      <x:c r="E10" s="12" t="str"/>
      <x:c r="F10" s="12" t="str"/>
      <x:c r="G10" s="12" t="str"/>
      <x:c r="H10" s="12" t="str"/>
    </x:row>
    <x:row r="11">
      <x:c r="A11" s="12" t="str">
        <x:v>Plazo principal</x:v>
      </x:c>
      <x:c r="B11" s="12" t="n">
        <x:v>3</x:v>
      </x:c>
      <x:c r="C11" s="12" t="str">
        <x:v>días calendario</x:v>
      </x:c>
      <x:c r="D11" s="12" t="str"/>
      <x:c r="E11" s="12" t="str"/>
      <x:c r="F11" s="12" t="str"/>
      <x:c r="G11" s="12" t="str"/>
      <x:c r="H11" s="12" t="str"/>
    </x:row>
    <x:row r="12">
      <x:c r="A12" s="12" t="str">
        <x:v>Periodo de gracia</x:v>
      </x:c>
      <x:c r="B12" s="12" t="n">
        <x:v>2</x:v>
      </x:c>
      <x:c r="C12" s="12" t="str">
        <x:v>días calendario</x:v>
      </x:c>
      <x:c r="D12" s="12" t="str"/>
      <x:c r="E12" s="12" t="str"/>
      <x:c r="F12" s="12" t="str"/>
      <x:c r="G12" s="12" t="str"/>
      <x:c r="H12" s="12" t="str"/>
    </x:row>
    <x:row r="13">
      <x:c r="A13" s="12" t="str">
        <x:v>Nómina por categoría</x:v>
      </x:c>
      <x:c r="B13" s="12" t="str">
        <x:v>9 a 12</x:v>
      </x:c>
      <x:c r="C13" s="12" t="str">
        <x:v>Confirmar mínimo por redacción contradictoria de las bases</x:v>
      </x:c>
      <x:c r="D13" s="12" t="str"/>
      <x:c r="E13" s="12" t="str"/>
      <x:c r="F13" s="12" t="str"/>
      <x:c r="G13" s="12" t="str"/>
      <x:c r="H13" s="12" t="str"/>
    </x:row>
  </x:sheetData>
  <x:mergeCells>
    <x:mergeCell ref="A1:H1"/>
  </x:mergeCells>
  <x:pageMargins left="0.7" right="0.7" top="0.75" bottom="0.75" header="0.3" footer="0.3"/>
</x:worksheet>
</file>